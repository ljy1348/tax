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youngju/Desktop/"/>
    </mc:Choice>
  </mc:AlternateContent>
  <xr:revisionPtr revIDLastSave="0" documentId="13_ncr:1_{C79BB87E-55EF-8345-9092-D9E02105F32F}" xr6:coauthVersionLast="47" xr6:coauthVersionMax="47" xr10:uidLastSave="{00000000-0000-0000-0000-000000000000}"/>
  <bookViews>
    <workbookView xWindow="23140" yWindow="600" windowWidth="28060" windowHeight="28200" xr2:uid="{C2DCB8A3-109F-B345-9E36-C42F780E33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" i="1" l="1"/>
  <c r="L60" i="1"/>
  <c r="K61" i="1"/>
  <c r="L61" i="1"/>
  <c r="K62" i="1"/>
  <c r="L62" i="1" s="1"/>
  <c r="K63" i="1"/>
  <c r="L63" i="1" s="1"/>
  <c r="K64" i="1"/>
  <c r="L64" i="1"/>
  <c r="K65" i="1"/>
  <c r="L65" i="1"/>
  <c r="K66" i="1"/>
  <c r="L66" i="1"/>
  <c r="K67" i="1"/>
  <c r="L67" i="1" s="1"/>
  <c r="K68" i="1"/>
  <c r="L68" i="1" s="1"/>
  <c r="K69" i="1"/>
  <c r="L69" i="1"/>
  <c r="K70" i="1"/>
  <c r="L70" i="1"/>
  <c r="K71" i="1"/>
  <c r="L71" i="1"/>
  <c r="K72" i="1"/>
  <c r="L72" i="1" s="1"/>
  <c r="K73" i="1"/>
  <c r="L73" i="1" s="1"/>
  <c r="K74" i="1"/>
  <c r="L74" i="1"/>
  <c r="K78" i="1"/>
  <c r="L78" i="1" s="1"/>
  <c r="K79" i="1"/>
  <c r="L79" i="1"/>
  <c r="K80" i="1"/>
  <c r="L80" i="1"/>
  <c r="K81" i="1"/>
  <c r="L81" i="1"/>
  <c r="K82" i="1"/>
  <c r="L82" i="1" s="1"/>
  <c r="K83" i="1"/>
  <c r="L83" i="1" s="1"/>
  <c r="K84" i="1"/>
  <c r="L84" i="1"/>
  <c r="K85" i="1"/>
  <c r="L85" i="1"/>
  <c r="K86" i="1"/>
  <c r="L86" i="1"/>
  <c r="K87" i="1"/>
  <c r="L87" i="1" s="1"/>
  <c r="K88" i="1"/>
  <c r="L88" i="1" s="1"/>
  <c r="K89" i="1"/>
  <c r="L89" i="1"/>
  <c r="K92" i="1"/>
  <c r="L92" i="1" s="1"/>
  <c r="K93" i="1"/>
  <c r="L93" i="1" s="1"/>
  <c r="K94" i="1"/>
  <c r="L94" i="1"/>
  <c r="K95" i="1"/>
  <c r="L95" i="1"/>
  <c r="K96" i="1"/>
  <c r="L96" i="1"/>
  <c r="K97" i="1"/>
  <c r="L97" i="1" s="1"/>
  <c r="K98" i="1"/>
  <c r="L98" i="1" s="1"/>
  <c r="K99" i="1"/>
  <c r="L99" i="1"/>
  <c r="K100" i="1"/>
  <c r="L100" i="1"/>
  <c r="K101" i="1"/>
  <c r="L101" i="1"/>
  <c r="K102" i="1"/>
  <c r="L102" i="1" s="1"/>
  <c r="K103" i="1"/>
  <c r="L103" i="1" s="1"/>
  <c r="K38" i="1"/>
  <c r="L38" i="1" s="1"/>
  <c r="L34" i="1"/>
  <c r="L35" i="1"/>
  <c r="L36" i="1"/>
  <c r="L44" i="1"/>
  <c r="L45" i="1"/>
  <c r="L46" i="1"/>
  <c r="L47" i="1"/>
  <c r="L48" i="1"/>
  <c r="L49" i="1"/>
  <c r="L54" i="1"/>
  <c r="L55" i="1"/>
  <c r="L56" i="1"/>
  <c r="L21" i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K35" i="1"/>
  <c r="K36" i="1"/>
  <c r="K37" i="1"/>
  <c r="L37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K45" i="1"/>
  <c r="K46" i="1"/>
  <c r="K47" i="1"/>
  <c r="K48" i="1"/>
  <c r="K49" i="1"/>
  <c r="K50" i="1"/>
  <c r="L50" i="1" s="1"/>
  <c r="K51" i="1"/>
  <c r="L51" i="1" s="1"/>
  <c r="K52" i="1"/>
  <c r="L52" i="1" s="1"/>
  <c r="K53" i="1"/>
  <c r="L53" i="1" s="1"/>
  <c r="K54" i="1"/>
  <c r="K55" i="1"/>
  <c r="K56" i="1"/>
  <c r="K21" i="1"/>
  <c r="F15" i="1"/>
  <c r="G15" i="1" l="1"/>
  <c r="H15" i="1" s="1"/>
</calcChain>
</file>

<file path=xl/sharedStrings.xml><?xml version="1.0" encoding="utf-8"?>
<sst xmlns="http://schemas.openxmlformats.org/spreadsheetml/2006/main" count="390" uniqueCount="137">
  <si>
    <t>상황</t>
    <phoneticPr fontId="3" type="noConversion"/>
  </si>
  <si>
    <t>고객이 한명에게 사업소득을 지급하는 상황</t>
    <phoneticPr fontId="3" type="noConversion"/>
  </si>
  <si>
    <t>지급대상</t>
    <phoneticPr fontId="3" type="noConversion"/>
  </si>
  <si>
    <t>이름</t>
    <phoneticPr fontId="3" type="noConversion"/>
  </si>
  <si>
    <t>주민등록번호</t>
    <phoneticPr fontId="3" type="noConversion"/>
  </si>
  <si>
    <t>세전금액</t>
    <phoneticPr fontId="3" type="noConversion"/>
  </si>
  <si>
    <t>원천세</t>
    <phoneticPr fontId="3" type="noConversion"/>
  </si>
  <si>
    <t>지방세</t>
    <phoneticPr fontId="3" type="noConversion"/>
  </si>
  <si>
    <t>세후금액</t>
    <phoneticPr fontId="3" type="noConversion"/>
  </si>
  <si>
    <t>전산매체</t>
    <phoneticPr fontId="3" type="noConversion"/>
  </si>
  <si>
    <t>1. 원천징수이행상황신고서-Header</t>
  </si>
  <si>
    <t>번호</t>
  </si>
  <si>
    <t>한글명</t>
  </si>
  <si>
    <t>서식항목</t>
  </si>
  <si>
    <t>TYPE</t>
  </si>
  <si>
    <t>길이</t>
  </si>
  <si>
    <t>누적</t>
  </si>
  <si>
    <t>필수</t>
  </si>
  <si>
    <t>점검내용</t>
  </si>
  <si>
    <t>입력!!!</t>
  </si>
  <si>
    <t>자료구분</t>
  </si>
  <si>
    <t>CHAR</t>
  </si>
  <si>
    <t>Not Null</t>
  </si>
  <si>
    <t>서식코드</t>
  </si>
  <si>
    <t>C103900</t>
  </si>
  <si>
    <t>납세자ID</t>
  </si>
  <si>
    <t>무세적점검</t>
  </si>
  <si>
    <t>세목코드</t>
  </si>
  <si>
    <t>신고구분코드</t>
  </si>
  <si>
    <t>신고구분상세코드</t>
  </si>
  <si>
    <t>01,02,03</t>
  </si>
  <si>
    <t>신고서종류코드</t>
  </si>
  <si>
    <t>F01</t>
  </si>
  <si>
    <t>귀속연월</t>
  </si>
  <si>
    <t>년월형식점검</t>
  </si>
  <si>
    <t>지급연월</t>
  </si>
  <si>
    <t>제출연월</t>
  </si>
  <si>
    <t>사용자ID</t>
  </si>
  <si>
    <t>길이점검</t>
  </si>
  <si>
    <t>민원종류코드</t>
  </si>
  <si>
    <t>FF001,FF101</t>
  </si>
  <si>
    <t>FF001</t>
  </si>
  <si>
    <t>세무대리인사업자번호</t>
  </si>
  <si>
    <t>공란</t>
  </si>
  <si>
    <t>세무대리인성명</t>
  </si>
  <si>
    <t>세무대리인관리번호</t>
  </si>
  <si>
    <t>세무대리인전화번호</t>
  </si>
  <si>
    <t>법인명(상호)</t>
  </si>
  <si>
    <t>공란점검</t>
  </si>
  <si>
    <t>사업장소재지</t>
  </si>
  <si>
    <t>사업장전화번호</t>
  </si>
  <si>
    <t>전자메일주소</t>
  </si>
  <si>
    <t>성명(대표자명)</t>
  </si>
  <si>
    <t>원천신고구분</t>
  </si>
  <si>
    <t>01,02</t>
  </si>
  <si>
    <t>연말정산여부</t>
  </si>
  <si>
    <t>Y,N</t>
  </si>
  <si>
    <t>N</t>
  </si>
  <si>
    <t>소득처분여부</t>
  </si>
  <si>
    <t>환급신청여부</t>
  </si>
  <si>
    <t>일괄납부여부</t>
  </si>
  <si>
    <t>사업자단위과세여부</t>
  </si>
  <si>
    <t>신고서부표여부</t>
  </si>
  <si>
    <t>(신고서(뒤쪽)작성여부)</t>
  </si>
  <si>
    <t>차월이월환급세액 승계명세여부</t>
  </si>
  <si>
    <t>기납부세액명세서 제출여부</t>
  </si>
  <si>
    <t>예입처(은행코드)</t>
  </si>
  <si>
    <t>계좌번호</t>
  </si>
  <si>
    <t>작성일자</t>
  </si>
  <si>
    <t>일자형식점검</t>
  </si>
  <si>
    <t>오늘</t>
  </si>
  <si>
    <t>세무프로그램코드</t>
  </si>
  <si>
    <t>Space</t>
  </si>
  <si>
    <t>홍길동</t>
    <phoneticPr fontId="3" type="noConversion"/>
  </si>
  <si>
    <t>123456-1234567</t>
    <phoneticPr fontId="3" type="noConversion"/>
  </si>
  <si>
    <t>고객</t>
    <phoneticPr fontId="3" type="noConversion"/>
  </si>
  <si>
    <t>사업장명</t>
    <phoneticPr fontId="3" type="noConversion"/>
  </si>
  <si>
    <t>사업자등록번호</t>
    <phoneticPr fontId="3" type="noConversion"/>
  </si>
  <si>
    <t>집주소</t>
    <phoneticPr fontId="3" type="noConversion"/>
  </si>
  <si>
    <t>2. 원천징수이행상황신고서_환급세액 조정</t>
  </si>
  <si>
    <t>점 검</t>
  </si>
  <si>
    <t>(12)전월미환급세액</t>
  </si>
  <si>
    <t>NUMBER</t>
  </si>
  <si>
    <t>양수 및 정수 검증</t>
  </si>
  <si>
    <t>(13)기환급신청세액</t>
  </si>
  <si>
    <t>(14)차감잔액</t>
  </si>
  <si>
    <t>(15)일반환급세액</t>
  </si>
  <si>
    <t>(16)신탁재산세액</t>
  </si>
  <si>
    <t>(17)그밖의환급세액-금융회사 등</t>
  </si>
  <si>
    <t>(17)그밖의환급세액-합병 등</t>
  </si>
  <si>
    <t>(18)조정대상환급세액</t>
  </si>
  <si>
    <t>(19)당월조정환급세액계</t>
  </si>
  <si>
    <t>정수 검증</t>
  </si>
  <si>
    <t>(20)차월이월환급세액</t>
  </si>
  <si>
    <t>(21)환급신청액</t>
  </si>
  <si>
    <t>승계대상합계 차월이월환급세액</t>
  </si>
  <si>
    <t>공란 검증</t>
  </si>
  <si>
    <t>3. 원천징수이행상황신고서_원천징수 명세 및 납부세액</t>
  </si>
  <si>
    <t>원천징수소득코드</t>
  </si>
  <si>
    <t>코드표 참조</t>
  </si>
  <si>
    <t>인원</t>
  </si>
  <si>
    <t>양의정수형식점검</t>
  </si>
  <si>
    <t>총지급액</t>
  </si>
  <si>
    <t>징수세액(소득세 등)</t>
  </si>
  <si>
    <t>정수점검</t>
  </si>
  <si>
    <t>징수세액(농특세)</t>
  </si>
  <si>
    <t>가산세</t>
  </si>
  <si>
    <t>당월조정환급세액</t>
  </si>
  <si>
    <t>납부세액(소득세 등)</t>
  </si>
  <si>
    <t>납부세액(농특세)</t>
  </si>
  <si>
    <t>SPACE</t>
  </si>
  <si>
    <t>정기신고</t>
    <phoneticPr fontId="3" type="noConversion"/>
  </si>
  <si>
    <t>신고일</t>
    <phoneticPr fontId="3" type="noConversion"/>
  </si>
  <si>
    <t>예시</t>
    <phoneticPr fontId="3" type="noConversion"/>
  </si>
  <si>
    <t>김철수</t>
    <phoneticPr fontId="3" type="noConversion"/>
  </si>
  <si>
    <t>987654-1122334</t>
    <phoneticPr fontId="3" type="noConversion"/>
  </si>
  <si>
    <t>서울시 관악구 무슨길 123</t>
    <phoneticPr fontId="3" type="noConversion"/>
  </si>
  <si>
    <t>대한상회</t>
    <phoneticPr fontId="3" type="noConversion"/>
  </si>
  <si>
    <t>123-45-67891</t>
    <phoneticPr fontId="3" type="noConversion"/>
  </si>
  <si>
    <t>1234567891</t>
    <phoneticPr fontId="3" type="noConversion"/>
  </si>
  <si>
    <t>01</t>
    <phoneticPr fontId="3" type="noConversion"/>
  </si>
  <si>
    <t>2025년 12월</t>
    <phoneticPr fontId="3" type="noConversion"/>
  </si>
  <si>
    <t>귀속연월</t>
    <phoneticPr fontId="3" type="noConversion"/>
  </si>
  <si>
    <t>202512</t>
    <phoneticPr fontId="3" type="noConversion"/>
  </si>
  <si>
    <t>지급연월</t>
    <phoneticPr fontId="3" type="noConversion"/>
  </si>
  <si>
    <t>202501</t>
    <phoneticPr fontId="3" type="noConversion"/>
  </si>
  <si>
    <t>홈택스id</t>
    <phoneticPr fontId="3" type="noConversion"/>
  </si>
  <si>
    <t>chars</t>
    <phoneticPr fontId="3" type="noConversion"/>
  </si>
  <si>
    <t>홈택스상 사업장소재지</t>
    <phoneticPr fontId="3" type="noConversion"/>
  </si>
  <si>
    <t>홈택스상 사업장전화번호</t>
    <phoneticPr fontId="3" type="noConversion"/>
  </si>
  <si>
    <t>홈택스상 전자메일주소</t>
    <phoneticPr fontId="3" type="noConversion"/>
  </si>
  <si>
    <t>A25</t>
    <phoneticPr fontId="3" type="noConversion"/>
  </si>
  <si>
    <t>1</t>
    <phoneticPr fontId="3" type="noConversion"/>
  </si>
  <si>
    <t>1000000</t>
    <phoneticPr fontId="3" type="noConversion"/>
  </si>
  <si>
    <t>30000</t>
    <phoneticPr fontId="3" type="noConversion"/>
  </si>
  <si>
    <t>0</t>
    <phoneticPr fontId="3" type="noConversion"/>
  </si>
  <si>
    <t>A30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</si>
</sst>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41" fontId="0" fillId="0" borderId="1" xfId="1" applyFont="1" applyBorder="1">
      <alignment vertical="center"/>
    </xf>
    <xf numFmtId="0" fontId="0" fillId="3" borderId="1" xfId="0" applyFill="1" applyBorder="1">
      <alignment vertical="center"/>
    </xf>
    <xf numFmtId="31" fontId="0" fillId="0" borderId="0" xfId="0" applyNumberFormat="1">
      <alignment vertical="center"/>
    </xf>
    <xf numFmtId="0" fontId="0" fillId="0" borderId="2" xfId="0" applyBorder="1">
      <alignment vertical="center"/>
    </xf>
    <xf numFmtId="0" fontId="2" fillId="0" borderId="2" xfId="0" applyFont="1" applyBorder="1">
      <alignment vertical="center"/>
    </xf>
    <xf numFmtId="49" fontId="0" fillId="2" borderId="1" xfId="0" applyNumberForma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AA11-E620-FA45-BEB0-7DAD7D8335A4}">
  <dimension ref="A1:L103"/>
  <sheetViews>
    <sheetView tabSelected="1" workbookViewId="0">
      <selection activeCell="N75" sqref="N75"/>
    </sheetView>
  </sheetViews>
  <sheetFormatPr baseColWidth="10" defaultRowHeight="18"/>
  <cols>
    <col min="2" max="2" width="5" style="1" customWidth="1"/>
    <col min="3" max="3" width="28.85546875" customWidth="1"/>
    <col min="4" max="4" width="15.85546875" customWidth="1"/>
    <col min="6" max="6" width="18.28515625" customWidth="1"/>
    <col min="7" max="7" width="12.85546875" customWidth="1"/>
    <col min="9" max="9" width="12" bestFit="1" customWidth="1"/>
    <col min="10" max="10" width="29.28515625" customWidth="1"/>
  </cols>
  <sheetData>
    <row r="1" spans="1:8">
      <c r="A1" t="s">
        <v>113</v>
      </c>
    </row>
    <row r="2" spans="1:8">
      <c r="B2" s="1" t="s">
        <v>0</v>
      </c>
    </row>
    <row r="3" spans="1:8">
      <c r="C3" t="s">
        <v>1</v>
      </c>
    </row>
    <row r="4" spans="1:8">
      <c r="C4" t="s">
        <v>111</v>
      </c>
    </row>
    <row r="5" spans="1:8">
      <c r="C5" t="s">
        <v>112</v>
      </c>
      <c r="D5" s="8">
        <v>46032</v>
      </c>
    </row>
    <row r="6" spans="1:8">
      <c r="C6" t="s">
        <v>122</v>
      </c>
      <c r="D6" t="s">
        <v>121</v>
      </c>
    </row>
    <row r="7" spans="1:8">
      <c r="C7" t="s">
        <v>124</v>
      </c>
      <c r="D7" t="s">
        <v>121</v>
      </c>
    </row>
    <row r="9" spans="1:8">
      <c r="B9" s="1" t="s">
        <v>75</v>
      </c>
    </row>
    <row r="10" spans="1:8">
      <c r="C10" s="7" t="s">
        <v>126</v>
      </c>
      <c r="D10" s="7" t="s">
        <v>3</v>
      </c>
      <c r="E10" s="7" t="s">
        <v>4</v>
      </c>
      <c r="F10" s="7" t="s">
        <v>78</v>
      </c>
      <c r="G10" s="7" t="s">
        <v>76</v>
      </c>
      <c r="H10" s="7" t="s">
        <v>77</v>
      </c>
    </row>
    <row r="11" spans="1:8">
      <c r="C11" s="3" t="s">
        <v>127</v>
      </c>
      <c r="D11" s="3" t="s">
        <v>114</v>
      </c>
      <c r="E11" s="3" t="s">
        <v>115</v>
      </c>
      <c r="F11" s="3" t="s">
        <v>116</v>
      </c>
      <c r="G11" s="3" t="s">
        <v>117</v>
      </c>
      <c r="H11" s="3" t="s">
        <v>118</v>
      </c>
    </row>
    <row r="13" spans="1:8">
      <c r="B13" s="1" t="s">
        <v>2</v>
      </c>
    </row>
    <row r="14" spans="1:8">
      <c r="C14" s="7" t="s">
        <v>3</v>
      </c>
      <c r="D14" s="7" t="s">
        <v>4</v>
      </c>
      <c r="E14" s="7" t="s">
        <v>5</v>
      </c>
      <c r="F14" s="7" t="s">
        <v>6</v>
      </c>
      <c r="G14" s="7" t="s">
        <v>7</v>
      </c>
      <c r="H14" s="7" t="s">
        <v>8</v>
      </c>
    </row>
    <row r="15" spans="1:8">
      <c r="C15" s="3" t="s">
        <v>73</v>
      </c>
      <c r="D15" s="3" t="s">
        <v>74</v>
      </c>
      <c r="E15" s="6">
        <v>1000000</v>
      </c>
      <c r="F15" s="6">
        <f>E15*3%</f>
        <v>30000</v>
      </c>
      <c r="G15" s="6">
        <f>F15*10%</f>
        <v>3000</v>
      </c>
      <c r="H15" s="6">
        <f>E15-F15-G15</f>
        <v>967000</v>
      </c>
    </row>
    <row r="16" spans="1:8" s="9" customFormat="1" ht="19" thickBot="1">
      <c r="B16" s="10"/>
    </row>
    <row r="18" spans="2:12">
      <c r="B18" s="1" t="s">
        <v>9</v>
      </c>
    </row>
    <row r="19" spans="2:12">
      <c r="B19" t="s">
        <v>10</v>
      </c>
    </row>
    <row r="20" spans="2:12">
      <c r="B20" s="2" t="s">
        <v>11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18</v>
      </c>
      <c r="J20" s="4" t="s">
        <v>19</v>
      </c>
    </row>
    <row r="21" spans="2:12">
      <c r="B21" s="3">
        <v>1</v>
      </c>
      <c r="C21" s="3" t="s">
        <v>20</v>
      </c>
      <c r="D21" s="3"/>
      <c r="E21" s="3" t="s">
        <v>21</v>
      </c>
      <c r="F21" s="3">
        <v>2</v>
      </c>
      <c r="G21" s="3">
        <v>2</v>
      </c>
      <c r="H21" s="3" t="s">
        <v>22</v>
      </c>
      <c r="I21" s="3">
        <v>21</v>
      </c>
      <c r="J21" s="11">
        <v>21</v>
      </c>
      <c r="K21">
        <f>LEN(J21)</f>
        <v>2</v>
      </c>
      <c r="L21">
        <f>F21-K21</f>
        <v>0</v>
      </c>
    </row>
    <row r="22" spans="2:12">
      <c r="B22" s="3">
        <v>2</v>
      </c>
      <c r="C22" s="3" t="s">
        <v>23</v>
      </c>
      <c r="D22" s="3"/>
      <c r="E22" s="3" t="s">
        <v>21</v>
      </c>
      <c r="F22" s="3">
        <v>7</v>
      </c>
      <c r="G22" s="3">
        <v>9</v>
      </c>
      <c r="H22" s="3" t="s">
        <v>22</v>
      </c>
      <c r="I22" s="3" t="s">
        <v>24</v>
      </c>
      <c r="J22" s="11" t="s">
        <v>24</v>
      </c>
      <c r="K22">
        <f t="shared" ref="K22:K85" si="0">LEN(J22)</f>
        <v>7</v>
      </c>
      <c r="L22">
        <f t="shared" ref="L22:L56" si="1">F22-K22</f>
        <v>0</v>
      </c>
    </row>
    <row r="23" spans="2:12">
      <c r="B23" s="3">
        <v>3</v>
      </c>
      <c r="C23" s="3" t="s">
        <v>25</v>
      </c>
      <c r="D23" s="3"/>
      <c r="E23" s="3" t="s">
        <v>21</v>
      </c>
      <c r="F23" s="3">
        <v>13</v>
      </c>
      <c r="G23" s="3">
        <v>22</v>
      </c>
      <c r="H23" s="3" t="s">
        <v>22</v>
      </c>
      <c r="I23" s="3" t="s">
        <v>26</v>
      </c>
      <c r="J23" s="11" t="s">
        <v>119</v>
      </c>
      <c r="K23">
        <f t="shared" si="0"/>
        <v>10</v>
      </c>
      <c r="L23">
        <f t="shared" si="1"/>
        <v>3</v>
      </c>
    </row>
    <row r="24" spans="2:12">
      <c r="B24" s="3">
        <v>4</v>
      </c>
      <c r="C24" s="3" t="s">
        <v>27</v>
      </c>
      <c r="D24" s="3"/>
      <c r="E24" s="3" t="s">
        <v>21</v>
      </c>
      <c r="F24" s="3">
        <v>2</v>
      </c>
      <c r="G24" s="3">
        <v>24</v>
      </c>
      <c r="H24" s="3" t="s">
        <v>22</v>
      </c>
      <c r="I24" s="3">
        <v>14</v>
      </c>
      <c r="J24" s="11">
        <v>14</v>
      </c>
      <c r="K24">
        <f t="shared" si="0"/>
        <v>2</v>
      </c>
      <c r="L24">
        <f t="shared" si="1"/>
        <v>0</v>
      </c>
    </row>
    <row r="25" spans="2:12">
      <c r="B25" s="3">
        <v>5</v>
      </c>
      <c r="C25" s="3" t="s">
        <v>28</v>
      </c>
      <c r="D25" s="3">
        <v>-1</v>
      </c>
      <c r="E25" s="3" t="s">
        <v>21</v>
      </c>
      <c r="F25" s="3">
        <v>2</v>
      </c>
      <c r="G25" s="3">
        <v>26</v>
      </c>
      <c r="H25" s="3" t="s">
        <v>22</v>
      </c>
      <c r="I25" s="3">
        <v>1</v>
      </c>
      <c r="J25" s="11" t="s">
        <v>120</v>
      </c>
      <c r="K25">
        <f t="shared" si="0"/>
        <v>2</v>
      </c>
      <c r="L25">
        <f t="shared" si="1"/>
        <v>0</v>
      </c>
    </row>
    <row r="26" spans="2:12">
      <c r="B26" s="3">
        <v>6</v>
      </c>
      <c r="C26" s="3" t="s">
        <v>29</v>
      </c>
      <c r="D26" s="3">
        <v>-1</v>
      </c>
      <c r="E26" s="3" t="s">
        <v>21</v>
      </c>
      <c r="F26" s="3">
        <v>2</v>
      </c>
      <c r="G26" s="3">
        <v>28</v>
      </c>
      <c r="H26" s="3" t="s">
        <v>22</v>
      </c>
      <c r="I26" s="3" t="s">
        <v>30</v>
      </c>
      <c r="J26" s="11" t="s">
        <v>120</v>
      </c>
      <c r="K26">
        <f t="shared" si="0"/>
        <v>2</v>
      </c>
      <c r="L26">
        <f t="shared" si="1"/>
        <v>0</v>
      </c>
    </row>
    <row r="27" spans="2:12">
      <c r="B27" s="3">
        <v>7</v>
      </c>
      <c r="C27" s="3" t="s">
        <v>31</v>
      </c>
      <c r="D27" s="3"/>
      <c r="E27" s="3" t="s">
        <v>21</v>
      </c>
      <c r="F27" s="3">
        <v>3</v>
      </c>
      <c r="G27" s="3">
        <v>31</v>
      </c>
      <c r="H27" s="3" t="s">
        <v>22</v>
      </c>
      <c r="I27" s="3" t="s">
        <v>32</v>
      </c>
      <c r="J27" s="11" t="s">
        <v>32</v>
      </c>
      <c r="K27">
        <f t="shared" si="0"/>
        <v>3</v>
      </c>
      <c r="L27">
        <f t="shared" si="1"/>
        <v>0</v>
      </c>
    </row>
    <row r="28" spans="2:12">
      <c r="B28" s="3">
        <v>8</v>
      </c>
      <c r="C28" s="3" t="s">
        <v>33</v>
      </c>
      <c r="D28" s="3">
        <v>-2</v>
      </c>
      <c r="E28" s="3" t="s">
        <v>21</v>
      </c>
      <c r="F28" s="3">
        <v>6</v>
      </c>
      <c r="G28" s="3">
        <v>37</v>
      </c>
      <c r="H28" s="3" t="s">
        <v>22</v>
      </c>
      <c r="I28" s="3" t="s">
        <v>34</v>
      </c>
      <c r="J28" s="11" t="s">
        <v>123</v>
      </c>
      <c r="K28">
        <f t="shared" si="0"/>
        <v>6</v>
      </c>
      <c r="L28">
        <f t="shared" si="1"/>
        <v>0</v>
      </c>
    </row>
    <row r="29" spans="2:12">
      <c r="B29" s="3">
        <v>9</v>
      </c>
      <c r="C29" s="3" t="s">
        <v>35</v>
      </c>
      <c r="D29" s="3">
        <v>-3</v>
      </c>
      <c r="E29" s="3" t="s">
        <v>21</v>
      </c>
      <c r="F29" s="3">
        <v>6</v>
      </c>
      <c r="G29" s="3">
        <v>43</v>
      </c>
      <c r="H29" s="3" t="s">
        <v>22</v>
      </c>
      <c r="I29" s="3" t="s">
        <v>34</v>
      </c>
      <c r="J29" s="11" t="s">
        <v>123</v>
      </c>
      <c r="K29">
        <f t="shared" si="0"/>
        <v>6</v>
      </c>
      <c r="L29">
        <f t="shared" si="1"/>
        <v>0</v>
      </c>
    </row>
    <row r="30" spans="2:12">
      <c r="B30" s="3">
        <v>10</v>
      </c>
      <c r="C30" s="3" t="s">
        <v>36</v>
      </c>
      <c r="D30" s="3"/>
      <c r="E30" s="3" t="s">
        <v>21</v>
      </c>
      <c r="F30" s="3">
        <v>6</v>
      </c>
      <c r="G30" s="3">
        <v>49</v>
      </c>
      <c r="H30" s="3" t="s">
        <v>22</v>
      </c>
      <c r="I30" s="3" t="s">
        <v>34</v>
      </c>
      <c r="J30" s="11" t="s">
        <v>125</v>
      </c>
      <c r="K30">
        <f t="shared" si="0"/>
        <v>6</v>
      </c>
      <c r="L30">
        <f t="shared" si="1"/>
        <v>0</v>
      </c>
    </row>
    <row r="31" spans="2:12">
      <c r="B31" s="3">
        <v>11</v>
      </c>
      <c r="C31" s="3" t="s">
        <v>37</v>
      </c>
      <c r="D31" s="3"/>
      <c r="E31" s="3" t="s">
        <v>21</v>
      </c>
      <c r="F31" s="3">
        <v>20</v>
      </c>
      <c r="G31" s="3">
        <v>69</v>
      </c>
      <c r="H31" s="3" t="s">
        <v>22</v>
      </c>
      <c r="I31" s="3" t="s">
        <v>38</v>
      </c>
      <c r="J31" s="11" t="s">
        <v>127</v>
      </c>
      <c r="K31">
        <f t="shared" si="0"/>
        <v>5</v>
      </c>
      <c r="L31">
        <f t="shared" si="1"/>
        <v>15</v>
      </c>
    </row>
    <row r="32" spans="2:12">
      <c r="B32" s="3">
        <v>12</v>
      </c>
      <c r="C32" s="3" t="s">
        <v>39</v>
      </c>
      <c r="D32" s="3"/>
      <c r="E32" s="3" t="s">
        <v>21</v>
      </c>
      <c r="F32" s="3">
        <v>5</v>
      </c>
      <c r="G32" s="3">
        <v>74</v>
      </c>
      <c r="H32" s="3"/>
      <c r="I32" s="3" t="s">
        <v>40</v>
      </c>
      <c r="J32" s="11" t="s">
        <v>41</v>
      </c>
      <c r="K32">
        <f t="shared" si="0"/>
        <v>5</v>
      </c>
      <c r="L32">
        <f t="shared" si="1"/>
        <v>0</v>
      </c>
    </row>
    <row r="33" spans="2:12">
      <c r="B33" s="3">
        <v>13</v>
      </c>
      <c r="C33" s="3" t="s">
        <v>42</v>
      </c>
      <c r="D33" s="3"/>
      <c r="E33" s="3" t="s">
        <v>21</v>
      </c>
      <c r="F33" s="3">
        <v>10</v>
      </c>
      <c r="G33" s="3">
        <v>84</v>
      </c>
      <c r="H33" s="3"/>
      <c r="I33" s="3" t="s">
        <v>26</v>
      </c>
      <c r="J33" s="11" t="s">
        <v>43</v>
      </c>
      <c r="K33">
        <f t="shared" si="0"/>
        <v>2</v>
      </c>
      <c r="L33">
        <f t="shared" si="1"/>
        <v>8</v>
      </c>
    </row>
    <row r="34" spans="2:12">
      <c r="B34" s="3">
        <v>14</v>
      </c>
      <c r="C34" s="3" t="s">
        <v>44</v>
      </c>
      <c r="D34" s="3"/>
      <c r="E34" s="3" t="s">
        <v>21</v>
      </c>
      <c r="F34" s="3">
        <v>30</v>
      </c>
      <c r="G34" s="3">
        <v>114</v>
      </c>
      <c r="H34" s="3"/>
      <c r="I34" s="3"/>
      <c r="J34" s="11" t="s">
        <v>43</v>
      </c>
      <c r="K34">
        <f t="shared" si="0"/>
        <v>2</v>
      </c>
      <c r="L34">
        <f t="shared" si="1"/>
        <v>28</v>
      </c>
    </row>
    <row r="35" spans="2:12">
      <c r="B35" s="3">
        <v>15</v>
      </c>
      <c r="C35" s="3" t="s">
        <v>45</v>
      </c>
      <c r="D35" s="3"/>
      <c r="E35" s="3" t="s">
        <v>21</v>
      </c>
      <c r="F35" s="3">
        <v>6</v>
      </c>
      <c r="G35" s="3">
        <v>120</v>
      </c>
      <c r="H35" s="3"/>
      <c r="I35" s="3"/>
      <c r="J35" s="11" t="s">
        <v>43</v>
      </c>
      <c r="K35">
        <f t="shared" si="0"/>
        <v>2</v>
      </c>
      <c r="L35">
        <f t="shared" si="1"/>
        <v>4</v>
      </c>
    </row>
    <row r="36" spans="2:12">
      <c r="B36" s="3">
        <v>16</v>
      </c>
      <c r="C36" s="3" t="s">
        <v>46</v>
      </c>
      <c r="D36" s="3"/>
      <c r="E36" s="3" t="s">
        <v>21</v>
      </c>
      <c r="F36" s="3">
        <v>14</v>
      </c>
      <c r="G36" s="3">
        <v>134</v>
      </c>
      <c r="H36" s="3"/>
      <c r="I36" s="3"/>
      <c r="J36" s="11" t="s">
        <v>43</v>
      </c>
      <c r="K36">
        <f t="shared" si="0"/>
        <v>2</v>
      </c>
      <c r="L36">
        <f t="shared" si="1"/>
        <v>12</v>
      </c>
    </row>
    <row r="37" spans="2:12">
      <c r="B37" s="3">
        <v>17</v>
      </c>
      <c r="C37" s="3" t="s">
        <v>47</v>
      </c>
      <c r="D37" s="3"/>
      <c r="E37" s="3" t="s">
        <v>21</v>
      </c>
      <c r="F37" s="3">
        <v>30</v>
      </c>
      <c r="G37" s="3">
        <v>164</v>
      </c>
      <c r="H37" s="3" t="s">
        <v>22</v>
      </c>
      <c r="I37" s="3" t="s">
        <v>48</v>
      </c>
      <c r="J37" s="11" t="s">
        <v>117</v>
      </c>
      <c r="K37">
        <f t="shared" si="0"/>
        <v>4</v>
      </c>
      <c r="L37">
        <f t="shared" si="1"/>
        <v>26</v>
      </c>
    </row>
    <row r="38" spans="2:12">
      <c r="B38" s="3">
        <v>18</v>
      </c>
      <c r="C38" s="3" t="s">
        <v>49</v>
      </c>
      <c r="D38" s="3"/>
      <c r="E38" s="3" t="s">
        <v>21</v>
      </c>
      <c r="F38" s="3">
        <v>70</v>
      </c>
      <c r="G38" s="3">
        <v>234</v>
      </c>
      <c r="H38" s="3"/>
      <c r="I38" s="3"/>
      <c r="J38" s="5" t="s">
        <v>128</v>
      </c>
      <c r="K38">
        <f t="shared" si="0"/>
        <v>11</v>
      </c>
      <c r="L38">
        <f t="shared" si="1"/>
        <v>59</v>
      </c>
    </row>
    <row r="39" spans="2:12">
      <c r="B39" s="3">
        <v>19</v>
      </c>
      <c r="C39" s="3" t="s">
        <v>50</v>
      </c>
      <c r="D39" s="3"/>
      <c r="E39" s="3" t="s">
        <v>21</v>
      </c>
      <c r="F39" s="3">
        <v>14</v>
      </c>
      <c r="G39" s="3">
        <v>248</v>
      </c>
      <c r="H39" s="3"/>
      <c r="I39" s="3"/>
      <c r="J39" s="11" t="s">
        <v>129</v>
      </c>
      <c r="K39">
        <f t="shared" si="0"/>
        <v>12</v>
      </c>
      <c r="L39">
        <f t="shared" si="1"/>
        <v>2</v>
      </c>
    </row>
    <row r="40" spans="2:12">
      <c r="B40" s="3">
        <v>20</v>
      </c>
      <c r="C40" s="3" t="s">
        <v>51</v>
      </c>
      <c r="D40" s="3"/>
      <c r="E40" s="3" t="s">
        <v>21</v>
      </c>
      <c r="F40" s="3">
        <v>50</v>
      </c>
      <c r="G40" s="3">
        <v>298</v>
      </c>
      <c r="H40" s="3"/>
      <c r="I40" s="3"/>
      <c r="J40" s="11" t="s">
        <v>130</v>
      </c>
      <c r="K40">
        <f t="shared" si="0"/>
        <v>11</v>
      </c>
      <c r="L40">
        <f t="shared" si="1"/>
        <v>39</v>
      </c>
    </row>
    <row r="41" spans="2:12">
      <c r="B41" s="3">
        <v>21</v>
      </c>
      <c r="C41" s="3" t="s">
        <v>52</v>
      </c>
      <c r="D41" s="3"/>
      <c r="E41" s="3" t="s">
        <v>21</v>
      </c>
      <c r="F41" s="3">
        <v>30</v>
      </c>
      <c r="G41" s="3">
        <v>328</v>
      </c>
      <c r="H41" s="3" t="s">
        <v>22</v>
      </c>
      <c r="I41" s="3" t="s">
        <v>48</v>
      </c>
      <c r="J41" s="11" t="s">
        <v>114</v>
      </c>
      <c r="K41">
        <f t="shared" si="0"/>
        <v>3</v>
      </c>
      <c r="L41">
        <f t="shared" si="1"/>
        <v>27</v>
      </c>
    </row>
    <row r="42" spans="2:12">
      <c r="B42" s="3">
        <v>22</v>
      </c>
      <c r="C42" s="3" t="s">
        <v>53</v>
      </c>
      <c r="D42" s="3">
        <v>-1</v>
      </c>
      <c r="E42" s="3" t="s">
        <v>21</v>
      </c>
      <c r="F42" s="3">
        <v>2</v>
      </c>
      <c r="G42" s="3">
        <v>330</v>
      </c>
      <c r="H42" s="3" t="s">
        <v>22</v>
      </c>
      <c r="I42" s="3" t="s">
        <v>54</v>
      </c>
      <c r="J42" s="11">
        <v>1</v>
      </c>
      <c r="K42">
        <f t="shared" si="0"/>
        <v>1</v>
      </c>
      <c r="L42">
        <f t="shared" si="1"/>
        <v>1</v>
      </c>
    </row>
    <row r="43" spans="2:12">
      <c r="B43" s="3">
        <v>23</v>
      </c>
      <c r="C43" s="3" t="s">
        <v>55</v>
      </c>
      <c r="D43" s="3">
        <v>-1</v>
      </c>
      <c r="E43" s="3" t="s">
        <v>21</v>
      </c>
      <c r="F43" s="3">
        <v>1</v>
      </c>
      <c r="G43" s="3">
        <v>331</v>
      </c>
      <c r="H43" s="3" t="s">
        <v>22</v>
      </c>
      <c r="I43" s="3" t="s">
        <v>56</v>
      </c>
      <c r="J43" s="11" t="s">
        <v>57</v>
      </c>
      <c r="K43">
        <f t="shared" si="0"/>
        <v>1</v>
      </c>
      <c r="L43">
        <f t="shared" si="1"/>
        <v>0</v>
      </c>
    </row>
    <row r="44" spans="2:12">
      <c r="B44" s="3">
        <v>24</v>
      </c>
      <c r="C44" s="3" t="s">
        <v>58</v>
      </c>
      <c r="D44" s="3">
        <v>-1</v>
      </c>
      <c r="E44" s="3" t="s">
        <v>21</v>
      </c>
      <c r="F44" s="3">
        <v>1</v>
      </c>
      <c r="G44" s="3">
        <v>332</v>
      </c>
      <c r="H44" s="3" t="s">
        <v>22</v>
      </c>
      <c r="I44" s="3" t="s">
        <v>56</v>
      </c>
      <c r="J44" s="11" t="s">
        <v>57</v>
      </c>
      <c r="K44">
        <f t="shared" si="0"/>
        <v>1</v>
      </c>
      <c r="L44">
        <f t="shared" si="1"/>
        <v>0</v>
      </c>
    </row>
    <row r="45" spans="2:12">
      <c r="B45" s="3">
        <v>25</v>
      </c>
      <c r="C45" s="3" t="s">
        <v>59</v>
      </c>
      <c r="D45" s="3">
        <v>-1</v>
      </c>
      <c r="E45" s="3" t="s">
        <v>21</v>
      </c>
      <c r="F45" s="3">
        <v>1</v>
      </c>
      <c r="G45" s="3">
        <v>333</v>
      </c>
      <c r="H45" s="3" t="s">
        <v>22</v>
      </c>
      <c r="I45" s="3" t="s">
        <v>56</v>
      </c>
      <c r="J45" s="11" t="s">
        <v>57</v>
      </c>
      <c r="K45">
        <f t="shared" si="0"/>
        <v>1</v>
      </c>
      <c r="L45">
        <f t="shared" si="1"/>
        <v>0</v>
      </c>
    </row>
    <row r="46" spans="2:12">
      <c r="B46" s="3">
        <v>26</v>
      </c>
      <c r="C46" s="3" t="s">
        <v>60</v>
      </c>
      <c r="D46" s="3"/>
      <c r="E46" s="3" t="s">
        <v>21</v>
      </c>
      <c r="F46" s="3">
        <v>1</v>
      </c>
      <c r="G46" s="3">
        <v>334</v>
      </c>
      <c r="H46" s="3" t="s">
        <v>22</v>
      </c>
      <c r="I46" s="3" t="s">
        <v>56</v>
      </c>
      <c r="J46" s="11" t="s">
        <v>57</v>
      </c>
      <c r="K46">
        <f t="shared" si="0"/>
        <v>1</v>
      </c>
      <c r="L46">
        <f t="shared" si="1"/>
        <v>0</v>
      </c>
    </row>
    <row r="47" spans="2:12">
      <c r="B47" s="3">
        <v>27</v>
      </c>
      <c r="C47" s="3" t="s">
        <v>61</v>
      </c>
      <c r="D47" s="3"/>
      <c r="E47" s="3" t="s">
        <v>21</v>
      </c>
      <c r="F47" s="3">
        <v>1</v>
      </c>
      <c r="G47" s="3">
        <v>335</v>
      </c>
      <c r="H47" s="3" t="s">
        <v>22</v>
      </c>
      <c r="I47" s="3" t="s">
        <v>56</v>
      </c>
      <c r="J47" s="11" t="s">
        <v>57</v>
      </c>
      <c r="K47">
        <f t="shared" si="0"/>
        <v>1</v>
      </c>
      <c r="L47">
        <f t="shared" si="1"/>
        <v>0</v>
      </c>
    </row>
    <row r="48" spans="2:12">
      <c r="B48" s="3">
        <v>28</v>
      </c>
      <c r="C48" s="3" t="s">
        <v>62</v>
      </c>
      <c r="D48" s="3"/>
      <c r="E48" s="3"/>
      <c r="F48" s="3"/>
      <c r="G48" s="3"/>
      <c r="H48" s="3"/>
      <c r="I48" s="3"/>
      <c r="J48" s="11"/>
      <c r="K48">
        <f t="shared" si="0"/>
        <v>0</v>
      </c>
      <c r="L48">
        <f t="shared" si="1"/>
        <v>0</v>
      </c>
    </row>
    <row r="49" spans="2:12">
      <c r="B49" s="3"/>
      <c r="C49" s="3" t="s">
        <v>63</v>
      </c>
      <c r="D49" s="3"/>
      <c r="E49" s="3" t="s">
        <v>21</v>
      </c>
      <c r="F49" s="3">
        <v>1</v>
      </c>
      <c r="G49" s="3">
        <v>336</v>
      </c>
      <c r="H49" s="3" t="s">
        <v>22</v>
      </c>
      <c r="I49" s="3" t="s">
        <v>56</v>
      </c>
      <c r="J49" s="11" t="s">
        <v>57</v>
      </c>
      <c r="K49">
        <f t="shared" si="0"/>
        <v>1</v>
      </c>
      <c r="L49">
        <f t="shared" si="1"/>
        <v>0</v>
      </c>
    </row>
    <row r="50" spans="2:12">
      <c r="B50" s="3">
        <v>29</v>
      </c>
      <c r="C50" s="3" t="s">
        <v>64</v>
      </c>
      <c r="D50" s="3"/>
      <c r="E50" s="3" t="s">
        <v>21</v>
      </c>
      <c r="F50" s="3">
        <v>1</v>
      </c>
      <c r="G50" s="3">
        <v>337</v>
      </c>
      <c r="H50" s="3" t="s">
        <v>22</v>
      </c>
      <c r="I50" s="3" t="s">
        <v>56</v>
      </c>
      <c r="J50" s="11" t="s">
        <v>57</v>
      </c>
      <c r="K50">
        <f t="shared" si="0"/>
        <v>1</v>
      </c>
      <c r="L50">
        <f t="shared" si="1"/>
        <v>0</v>
      </c>
    </row>
    <row r="51" spans="2:12">
      <c r="B51" s="3">
        <v>30</v>
      </c>
      <c r="C51" s="3" t="s">
        <v>65</v>
      </c>
      <c r="D51" s="3"/>
      <c r="E51" s="3" t="s">
        <v>21</v>
      </c>
      <c r="F51" s="3">
        <v>1</v>
      </c>
      <c r="G51" s="3">
        <v>338</v>
      </c>
      <c r="H51" s="3" t="s">
        <v>22</v>
      </c>
      <c r="I51" s="3" t="s">
        <v>56</v>
      </c>
      <c r="J51" s="11" t="s">
        <v>57</v>
      </c>
      <c r="K51">
        <f t="shared" si="0"/>
        <v>1</v>
      </c>
      <c r="L51">
        <f t="shared" si="1"/>
        <v>0</v>
      </c>
    </row>
    <row r="52" spans="2:12">
      <c r="B52" s="3">
        <v>31</v>
      </c>
      <c r="C52" s="3" t="s">
        <v>66</v>
      </c>
      <c r="D52" s="3"/>
      <c r="E52" s="3" t="s">
        <v>21</v>
      </c>
      <c r="F52" s="3">
        <v>3</v>
      </c>
      <c r="G52" s="3">
        <v>341</v>
      </c>
      <c r="H52" s="3"/>
      <c r="I52" s="3" t="s">
        <v>38</v>
      </c>
      <c r="J52" s="11" t="s">
        <v>43</v>
      </c>
      <c r="K52">
        <f t="shared" si="0"/>
        <v>2</v>
      </c>
      <c r="L52">
        <f t="shared" si="1"/>
        <v>1</v>
      </c>
    </row>
    <row r="53" spans="2:12">
      <c r="B53" s="3">
        <v>32</v>
      </c>
      <c r="C53" s="3" t="s">
        <v>67</v>
      </c>
      <c r="D53" s="3"/>
      <c r="E53" s="3" t="s">
        <v>21</v>
      </c>
      <c r="F53" s="3">
        <v>20</v>
      </c>
      <c r="G53" s="3">
        <v>361</v>
      </c>
      <c r="H53" s="3"/>
      <c r="I53" s="3"/>
      <c r="J53" s="11" t="s">
        <v>43</v>
      </c>
      <c r="K53">
        <f t="shared" si="0"/>
        <v>2</v>
      </c>
      <c r="L53">
        <f t="shared" si="1"/>
        <v>18</v>
      </c>
    </row>
    <row r="54" spans="2:12">
      <c r="B54" s="3">
        <v>33</v>
      </c>
      <c r="C54" s="3" t="s">
        <v>68</v>
      </c>
      <c r="D54" s="3"/>
      <c r="E54" s="3" t="s">
        <v>21</v>
      </c>
      <c r="F54" s="3">
        <v>8</v>
      </c>
      <c r="G54" s="3">
        <v>369</v>
      </c>
      <c r="H54" s="3" t="s">
        <v>22</v>
      </c>
      <c r="I54" s="3" t="s">
        <v>69</v>
      </c>
      <c r="J54" s="11" t="s">
        <v>70</v>
      </c>
      <c r="K54">
        <f t="shared" si="0"/>
        <v>2</v>
      </c>
      <c r="L54">
        <f t="shared" si="1"/>
        <v>6</v>
      </c>
    </row>
    <row r="55" spans="2:12">
      <c r="B55" s="3">
        <v>34</v>
      </c>
      <c r="C55" s="3" t="s">
        <v>71</v>
      </c>
      <c r="D55" s="3"/>
      <c r="E55" s="3" t="s">
        <v>21</v>
      </c>
      <c r="F55" s="3">
        <v>4</v>
      </c>
      <c r="G55" s="3">
        <v>373</v>
      </c>
      <c r="H55" s="3" t="s">
        <v>22</v>
      </c>
      <c r="I55" s="3" t="s">
        <v>38</v>
      </c>
      <c r="J55" s="11">
        <v>9000</v>
      </c>
      <c r="K55">
        <f t="shared" si="0"/>
        <v>4</v>
      </c>
      <c r="L55">
        <f t="shared" si="1"/>
        <v>0</v>
      </c>
    </row>
    <row r="56" spans="2:12">
      <c r="B56" s="3">
        <v>35</v>
      </c>
      <c r="C56" s="3" t="s">
        <v>43</v>
      </c>
      <c r="D56" s="3"/>
      <c r="E56" s="3" t="s">
        <v>21</v>
      </c>
      <c r="F56" s="3">
        <v>27</v>
      </c>
      <c r="G56" s="3">
        <v>400</v>
      </c>
      <c r="H56" s="3"/>
      <c r="I56" s="3" t="s">
        <v>72</v>
      </c>
      <c r="J56" s="11" t="s">
        <v>43</v>
      </c>
      <c r="K56">
        <f t="shared" si="0"/>
        <v>2</v>
      </c>
      <c r="L56">
        <f t="shared" si="1"/>
        <v>25</v>
      </c>
    </row>
    <row r="58" spans="2:12">
      <c r="B58" t="s">
        <v>79</v>
      </c>
    </row>
    <row r="59" spans="2:12">
      <c r="B59" s="2" t="s">
        <v>11</v>
      </c>
      <c r="C59" s="2" t="s">
        <v>12</v>
      </c>
      <c r="D59" s="2" t="s">
        <v>13</v>
      </c>
      <c r="E59" s="2" t="s">
        <v>14</v>
      </c>
      <c r="F59" s="2" t="s">
        <v>15</v>
      </c>
      <c r="G59" s="2" t="s">
        <v>16</v>
      </c>
      <c r="H59" s="2" t="s">
        <v>17</v>
      </c>
      <c r="I59" s="2" t="s">
        <v>80</v>
      </c>
      <c r="J59" s="12" t="s">
        <v>19</v>
      </c>
    </row>
    <row r="60" spans="2:12">
      <c r="B60" s="3">
        <v>1</v>
      </c>
      <c r="C60" s="3" t="s">
        <v>20</v>
      </c>
      <c r="D60" s="3"/>
      <c r="E60" s="3" t="s">
        <v>21</v>
      </c>
      <c r="F60" s="3">
        <v>2</v>
      </c>
      <c r="G60" s="3">
        <v>2</v>
      </c>
      <c r="H60" s="3" t="s">
        <v>22</v>
      </c>
      <c r="I60" s="3">
        <v>22</v>
      </c>
      <c r="J60" s="11">
        <v>22</v>
      </c>
      <c r="K60">
        <f t="shared" si="0"/>
        <v>2</v>
      </c>
      <c r="L60">
        <f t="shared" ref="L57:L103" si="2">F60-K60</f>
        <v>0</v>
      </c>
    </row>
    <row r="61" spans="2:12">
      <c r="B61" s="3">
        <v>2</v>
      </c>
      <c r="C61" s="3" t="s">
        <v>23</v>
      </c>
      <c r="D61" s="3"/>
      <c r="E61" s="3" t="s">
        <v>21</v>
      </c>
      <c r="F61" s="3">
        <v>7</v>
      </c>
      <c r="G61" s="3">
        <v>9</v>
      </c>
      <c r="H61" s="3" t="s">
        <v>22</v>
      </c>
      <c r="I61" s="3" t="s">
        <v>24</v>
      </c>
      <c r="J61" s="11" t="s">
        <v>24</v>
      </c>
      <c r="K61">
        <f t="shared" si="0"/>
        <v>7</v>
      </c>
      <c r="L61">
        <f t="shared" si="2"/>
        <v>0</v>
      </c>
    </row>
    <row r="62" spans="2:12">
      <c r="B62" s="3">
        <v>3</v>
      </c>
      <c r="C62" s="3" t="s">
        <v>81</v>
      </c>
      <c r="D62" s="3">
        <v>-12</v>
      </c>
      <c r="E62" s="3" t="s">
        <v>82</v>
      </c>
      <c r="F62" s="3">
        <v>15</v>
      </c>
      <c r="G62" s="3">
        <v>24</v>
      </c>
      <c r="H62" s="3" t="s">
        <v>22</v>
      </c>
      <c r="I62" s="3" t="s">
        <v>83</v>
      </c>
      <c r="J62" s="11">
        <v>0</v>
      </c>
      <c r="K62">
        <f t="shared" si="0"/>
        <v>1</v>
      </c>
      <c r="L62">
        <f t="shared" si="2"/>
        <v>14</v>
      </c>
    </row>
    <row r="63" spans="2:12">
      <c r="B63" s="3">
        <v>4</v>
      </c>
      <c r="C63" s="3" t="s">
        <v>84</v>
      </c>
      <c r="D63" s="3">
        <v>-13</v>
      </c>
      <c r="E63" s="3" t="s">
        <v>82</v>
      </c>
      <c r="F63" s="3">
        <v>15</v>
      </c>
      <c r="G63" s="3">
        <v>39</v>
      </c>
      <c r="H63" s="3" t="s">
        <v>22</v>
      </c>
      <c r="I63" s="3" t="s">
        <v>83</v>
      </c>
      <c r="J63" s="11">
        <v>0</v>
      </c>
      <c r="K63">
        <f t="shared" si="0"/>
        <v>1</v>
      </c>
      <c r="L63">
        <f t="shared" si="2"/>
        <v>14</v>
      </c>
    </row>
    <row r="64" spans="2:12">
      <c r="B64" s="3">
        <v>5</v>
      </c>
      <c r="C64" s="3" t="s">
        <v>85</v>
      </c>
      <c r="D64" s="3">
        <v>-14</v>
      </c>
      <c r="E64" s="3" t="s">
        <v>82</v>
      </c>
      <c r="F64" s="3">
        <v>15</v>
      </c>
      <c r="G64" s="3">
        <v>54</v>
      </c>
      <c r="H64" s="3" t="s">
        <v>22</v>
      </c>
      <c r="I64" s="3" t="s">
        <v>83</v>
      </c>
      <c r="J64" s="11">
        <v>0</v>
      </c>
      <c r="K64">
        <f t="shared" si="0"/>
        <v>1</v>
      </c>
      <c r="L64">
        <f t="shared" si="2"/>
        <v>14</v>
      </c>
    </row>
    <row r="65" spans="2:12">
      <c r="B65" s="3">
        <v>6</v>
      </c>
      <c r="C65" s="3" t="s">
        <v>86</v>
      </c>
      <c r="D65" s="3">
        <v>-15</v>
      </c>
      <c r="E65" s="3" t="s">
        <v>82</v>
      </c>
      <c r="F65" s="3">
        <v>15</v>
      </c>
      <c r="G65" s="3">
        <v>69</v>
      </c>
      <c r="H65" s="3" t="s">
        <v>22</v>
      </c>
      <c r="I65" s="3" t="s">
        <v>83</v>
      </c>
      <c r="J65" s="11">
        <v>0</v>
      </c>
      <c r="K65">
        <f t="shared" si="0"/>
        <v>1</v>
      </c>
      <c r="L65">
        <f t="shared" si="2"/>
        <v>14</v>
      </c>
    </row>
    <row r="66" spans="2:12">
      <c r="B66" s="3">
        <v>7</v>
      </c>
      <c r="C66" s="3" t="s">
        <v>87</v>
      </c>
      <c r="D66" s="3">
        <v>-16</v>
      </c>
      <c r="E66" s="3" t="s">
        <v>82</v>
      </c>
      <c r="F66" s="3">
        <v>15</v>
      </c>
      <c r="G66" s="3">
        <v>84</v>
      </c>
      <c r="H66" s="3" t="s">
        <v>22</v>
      </c>
      <c r="I66" s="3" t="s">
        <v>83</v>
      </c>
      <c r="J66" s="11">
        <v>0</v>
      </c>
      <c r="K66">
        <f t="shared" si="0"/>
        <v>1</v>
      </c>
      <c r="L66">
        <f t="shared" si="2"/>
        <v>14</v>
      </c>
    </row>
    <row r="67" spans="2:12">
      <c r="B67" s="3">
        <v>8</v>
      </c>
      <c r="C67" s="3" t="s">
        <v>88</v>
      </c>
      <c r="D67" s="3">
        <v>-17</v>
      </c>
      <c r="E67" s="3" t="s">
        <v>82</v>
      </c>
      <c r="F67" s="3">
        <v>15</v>
      </c>
      <c r="G67" s="3">
        <v>99</v>
      </c>
      <c r="H67" s="3" t="s">
        <v>22</v>
      </c>
      <c r="I67" s="3" t="s">
        <v>83</v>
      </c>
      <c r="J67" s="11">
        <v>0</v>
      </c>
      <c r="K67">
        <f t="shared" si="0"/>
        <v>1</v>
      </c>
      <c r="L67">
        <f t="shared" si="2"/>
        <v>14</v>
      </c>
    </row>
    <row r="68" spans="2:12">
      <c r="B68" s="3">
        <v>9</v>
      </c>
      <c r="C68" s="3" t="s">
        <v>89</v>
      </c>
      <c r="D68" s="3">
        <v>-17</v>
      </c>
      <c r="E68" s="3" t="s">
        <v>82</v>
      </c>
      <c r="F68" s="3">
        <v>15</v>
      </c>
      <c r="G68" s="3">
        <v>114</v>
      </c>
      <c r="H68" s="3" t="s">
        <v>22</v>
      </c>
      <c r="I68" s="3" t="s">
        <v>83</v>
      </c>
      <c r="J68" s="11">
        <v>0</v>
      </c>
      <c r="K68">
        <f t="shared" si="0"/>
        <v>1</v>
      </c>
      <c r="L68">
        <f t="shared" si="2"/>
        <v>14</v>
      </c>
    </row>
    <row r="69" spans="2:12">
      <c r="B69" s="3">
        <v>10</v>
      </c>
      <c r="C69" s="3" t="s">
        <v>90</v>
      </c>
      <c r="D69" s="3">
        <v>-18</v>
      </c>
      <c r="E69" s="3" t="s">
        <v>82</v>
      </c>
      <c r="F69" s="3">
        <v>15</v>
      </c>
      <c r="G69" s="3">
        <v>129</v>
      </c>
      <c r="H69" s="3" t="s">
        <v>22</v>
      </c>
      <c r="I69" s="3" t="s">
        <v>83</v>
      </c>
      <c r="J69" s="11">
        <v>0</v>
      </c>
      <c r="K69">
        <f t="shared" si="0"/>
        <v>1</v>
      </c>
      <c r="L69">
        <f t="shared" si="2"/>
        <v>14</v>
      </c>
    </row>
    <row r="70" spans="2:12">
      <c r="B70" s="3">
        <v>11</v>
      </c>
      <c r="C70" s="3" t="s">
        <v>91</v>
      </c>
      <c r="D70" s="3">
        <v>-19</v>
      </c>
      <c r="E70" s="3" t="s">
        <v>82</v>
      </c>
      <c r="F70" s="3">
        <v>15</v>
      </c>
      <c r="G70" s="3">
        <v>144</v>
      </c>
      <c r="H70" s="3" t="s">
        <v>22</v>
      </c>
      <c r="I70" s="3" t="s">
        <v>92</v>
      </c>
      <c r="J70" s="11">
        <v>0</v>
      </c>
      <c r="K70">
        <f t="shared" si="0"/>
        <v>1</v>
      </c>
      <c r="L70">
        <f t="shared" si="2"/>
        <v>14</v>
      </c>
    </row>
    <row r="71" spans="2:12">
      <c r="B71" s="3">
        <v>12</v>
      </c>
      <c r="C71" s="3" t="s">
        <v>93</v>
      </c>
      <c r="D71" s="3">
        <v>-20</v>
      </c>
      <c r="E71" s="3" t="s">
        <v>82</v>
      </c>
      <c r="F71" s="3">
        <v>15</v>
      </c>
      <c r="G71" s="3">
        <v>159</v>
      </c>
      <c r="H71" s="3" t="s">
        <v>22</v>
      </c>
      <c r="I71" s="3" t="s">
        <v>83</v>
      </c>
      <c r="J71" s="11">
        <v>0</v>
      </c>
      <c r="K71">
        <f t="shared" si="0"/>
        <v>1</v>
      </c>
      <c r="L71">
        <f t="shared" si="2"/>
        <v>14</v>
      </c>
    </row>
    <row r="72" spans="2:12">
      <c r="B72" s="3">
        <v>13</v>
      </c>
      <c r="C72" s="3" t="s">
        <v>94</v>
      </c>
      <c r="D72" s="3">
        <v>-21</v>
      </c>
      <c r="E72" s="3" t="s">
        <v>82</v>
      </c>
      <c r="F72" s="3">
        <v>15</v>
      </c>
      <c r="G72" s="3">
        <v>174</v>
      </c>
      <c r="H72" s="3" t="s">
        <v>22</v>
      </c>
      <c r="I72" s="3" t="s">
        <v>83</v>
      </c>
      <c r="J72" s="11">
        <v>0</v>
      </c>
      <c r="K72">
        <f t="shared" si="0"/>
        <v>1</v>
      </c>
      <c r="L72">
        <f t="shared" si="2"/>
        <v>14</v>
      </c>
    </row>
    <row r="73" spans="2:12">
      <c r="B73" s="3">
        <v>14</v>
      </c>
      <c r="C73" s="3" t="s">
        <v>95</v>
      </c>
      <c r="D73" s="3"/>
      <c r="E73" s="3" t="s">
        <v>82</v>
      </c>
      <c r="F73" s="3">
        <v>15</v>
      </c>
      <c r="G73" s="3">
        <v>189</v>
      </c>
      <c r="H73" s="3" t="s">
        <v>22</v>
      </c>
      <c r="I73" s="3" t="s">
        <v>83</v>
      </c>
      <c r="J73" s="11">
        <v>0</v>
      </c>
      <c r="K73">
        <f t="shared" si="0"/>
        <v>1</v>
      </c>
      <c r="L73">
        <f t="shared" si="2"/>
        <v>14</v>
      </c>
    </row>
    <row r="74" spans="2:12">
      <c r="B74" s="3">
        <v>15</v>
      </c>
      <c r="C74" s="3" t="s">
        <v>43</v>
      </c>
      <c r="D74" s="3"/>
      <c r="E74" s="3" t="s">
        <v>21</v>
      </c>
      <c r="F74" s="3">
        <v>11</v>
      </c>
      <c r="G74" s="3">
        <v>200</v>
      </c>
      <c r="H74" s="3"/>
      <c r="I74" s="3" t="s">
        <v>96</v>
      </c>
      <c r="J74" s="11" t="s">
        <v>43</v>
      </c>
      <c r="K74">
        <f t="shared" si="0"/>
        <v>2</v>
      </c>
      <c r="L74">
        <f t="shared" si="2"/>
        <v>9</v>
      </c>
    </row>
    <row r="75" spans="2:12">
      <c r="J75" s="13"/>
    </row>
    <row r="76" spans="2:12">
      <c r="B76" t="s">
        <v>97</v>
      </c>
      <c r="J76" s="13"/>
    </row>
    <row r="77" spans="2:12">
      <c r="B77" s="2" t="s">
        <v>11</v>
      </c>
      <c r="C77" s="2" t="s">
        <v>12</v>
      </c>
      <c r="D77" s="2" t="s">
        <v>13</v>
      </c>
      <c r="E77" s="2" t="s">
        <v>14</v>
      </c>
      <c r="F77" s="2" t="s">
        <v>15</v>
      </c>
      <c r="G77" s="2" t="s">
        <v>16</v>
      </c>
      <c r="H77" s="2" t="s">
        <v>17</v>
      </c>
      <c r="I77" s="2" t="s">
        <v>18</v>
      </c>
      <c r="J77" s="12" t="s">
        <v>19</v>
      </c>
    </row>
    <row r="78" spans="2:12">
      <c r="B78" s="3">
        <v>1</v>
      </c>
      <c r="C78" s="3" t="s">
        <v>20</v>
      </c>
      <c r="D78" s="3"/>
      <c r="E78" s="3" t="s">
        <v>21</v>
      </c>
      <c r="F78" s="3">
        <v>2</v>
      </c>
      <c r="G78" s="3">
        <v>2</v>
      </c>
      <c r="H78" s="3" t="s">
        <v>22</v>
      </c>
      <c r="I78" s="3">
        <v>23</v>
      </c>
      <c r="J78" s="11">
        <v>23</v>
      </c>
      <c r="K78">
        <f t="shared" si="0"/>
        <v>2</v>
      </c>
      <c r="L78">
        <f t="shared" si="2"/>
        <v>0</v>
      </c>
    </row>
    <row r="79" spans="2:12">
      <c r="B79" s="3">
        <v>2</v>
      </c>
      <c r="C79" s="3" t="s">
        <v>23</v>
      </c>
      <c r="D79" s="3"/>
      <c r="E79" s="3" t="s">
        <v>21</v>
      </c>
      <c r="F79" s="3">
        <v>7</v>
      </c>
      <c r="G79" s="3">
        <v>9</v>
      </c>
      <c r="H79" s="3" t="s">
        <v>22</v>
      </c>
      <c r="I79" s="3" t="s">
        <v>24</v>
      </c>
      <c r="J79" s="11" t="s">
        <v>24</v>
      </c>
      <c r="K79">
        <f t="shared" si="0"/>
        <v>7</v>
      </c>
      <c r="L79">
        <f t="shared" si="2"/>
        <v>0</v>
      </c>
    </row>
    <row r="80" spans="2:12">
      <c r="B80" s="3">
        <v>3</v>
      </c>
      <c r="C80" s="3" t="s">
        <v>98</v>
      </c>
      <c r="D80" s="3"/>
      <c r="E80" s="3" t="s">
        <v>21</v>
      </c>
      <c r="F80" s="3">
        <v>3</v>
      </c>
      <c r="G80" s="3">
        <v>12</v>
      </c>
      <c r="H80" s="3" t="s">
        <v>22</v>
      </c>
      <c r="I80" s="3" t="s">
        <v>99</v>
      </c>
      <c r="J80" s="11" t="s">
        <v>131</v>
      </c>
      <c r="K80">
        <f t="shared" si="0"/>
        <v>3</v>
      </c>
      <c r="L80">
        <f t="shared" si="2"/>
        <v>0</v>
      </c>
    </row>
    <row r="81" spans="2:12">
      <c r="B81" s="3">
        <v>4</v>
      </c>
      <c r="C81" s="3" t="s">
        <v>100</v>
      </c>
      <c r="D81" s="3">
        <v>-4</v>
      </c>
      <c r="E81" s="3" t="s">
        <v>82</v>
      </c>
      <c r="F81" s="3">
        <v>15</v>
      </c>
      <c r="G81" s="3">
        <v>27</v>
      </c>
      <c r="H81" s="3" t="s">
        <v>22</v>
      </c>
      <c r="I81" s="3" t="s">
        <v>101</v>
      </c>
      <c r="J81" s="11" t="s">
        <v>132</v>
      </c>
      <c r="K81">
        <f t="shared" si="0"/>
        <v>1</v>
      </c>
      <c r="L81">
        <f t="shared" si="2"/>
        <v>14</v>
      </c>
    </row>
    <row r="82" spans="2:12">
      <c r="B82" s="3">
        <v>5</v>
      </c>
      <c r="C82" s="3" t="s">
        <v>102</v>
      </c>
      <c r="D82" s="3">
        <v>-5</v>
      </c>
      <c r="E82" s="3" t="s">
        <v>82</v>
      </c>
      <c r="F82" s="3">
        <v>15</v>
      </c>
      <c r="G82" s="3">
        <v>42</v>
      </c>
      <c r="H82" s="3" t="s">
        <v>22</v>
      </c>
      <c r="I82" s="3" t="s">
        <v>101</v>
      </c>
      <c r="J82" s="11" t="s">
        <v>133</v>
      </c>
      <c r="K82">
        <f t="shared" si="0"/>
        <v>7</v>
      </c>
      <c r="L82">
        <f t="shared" si="2"/>
        <v>8</v>
      </c>
    </row>
    <row r="83" spans="2:12">
      <c r="B83" s="3">
        <v>6</v>
      </c>
      <c r="C83" s="3" t="s">
        <v>103</v>
      </c>
      <c r="D83" s="3">
        <v>-6</v>
      </c>
      <c r="E83" s="3" t="s">
        <v>82</v>
      </c>
      <c r="F83" s="3">
        <v>15</v>
      </c>
      <c r="G83" s="3">
        <v>57</v>
      </c>
      <c r="H83" s="3" t="s">
        <v>22</v>
      </c>
      <c r="I83" s="3" t="s">
        <v>104</v>
      </c>
      <c r="J83" s="11" t="s">
        <v>134</v>
      </c>
      <c r="K83">
        <f t="shared" si="0"/>
        <v>5</v>
      </c>
      <c r="L83">
        <f t="shared" si="2"/>
        <v>10</v>
      </c>
    </row>
    <row r="84" spans="2:12">
      <c r="B84" s="3">
        <v>7</v>
      </c>
      <c r="C84" s="3" t="s">
        <v>105</v>
      </c>
      <c r="D84" s="3">
        <v>-7</v>
      </c>
      <c r="E84" s="3" t="s">
        <v>82</v>
      </c>
      <c r="F84" s="3">
        <v>15</v>
      </c>
      <c r="G84" s="3">
        <v>72</v>
      </c>
      <c r="H84" s="3" t="s">
        <v>22</v>
      </c>
      <c r="I84" s="3" t="s">
        <v>104</v>
      </c>
      <c r="J84" s="11">
        <v>0</v>
      </c>
      <c r="K84">
        <f t="shared" si="0"/>
        <v>1</v>
      </c>
      <c r="L84">
        <f t="shared" si="2"/>
        <v>14</v>
      </c>
    </row>
    <row r="85" spans="2:12">
      <c r="B85" s="3">
        <v>8</v>
      </c>
      <c r="C85" s="3" t="s">
        <v>106</v>
      </c>
      <c r="D85" s="3">
        <v>-8</v>
      </c>
      <c r="E85" s="3" t="s">
        <v>82</v>
      </c>
      <c r="F85" s="3">
        <v>15</v>
      </c>
      <c r="G85" s="3">
        <v>87</v>
      </c>
      <c r="H85" s="3" t="s">
        <v>22</v>
      </c>
      <c r="I85" s="3" t="s">
        <v>101</v>
      </c>
      <c r="J85" s="11" t="s">
        <v>135</v>
      </c>
      <c r="K85">
        <f t="shared" si="0"/>
        <v>1</v>
      </c>
      <c r="L85">
        <f t="shared" si="2"/>
        <v>14</v>
      </c>
    </row>
    <row r="86" spans="2:12">
      <c r="B86" s="3">
        <v>9</v>
      </c>
      <c r="C86" s="3" t="s">
        <v>107</v>
      </c>
      <c r="D86" s="3">
        <v>-9</v>
      </c>
      <c r="E86" s="3" t="s">
        <v>82</v>
      </c>
      <c r="F86" s="3">
        <v>15</v>
      </c>
      <c r="G86" s="3">
        <v>102</v>
      </c>
      <c r="H86" s="3" t="s">
        <v>22</v>
      </c>
      <c r="I86" s="3" t="s">
        <v>104</v>
      </c>
      <c r="J86" s="11">
        <v>0</v>
      </c>
      <c r="K86">
        <f t="shared" ref="K86:K103" si="3">LEN(J86)</f>
        <v>1</v>
      </c>
      <c r="L86">
        <f t="shared" si="2"/>
        <v>14</v>
      </c>
    </row>
    <row r="87" spans="2:12">
      <c r="B87" s="3">
        <v>10</v>
      </c>
      <c r="C87" s="3" t="s">
        <v>108</v>
      </c>
      <c r="D87" s="3">
        <v>-10</v>
      </c>
      <c r="E87" s="3" t="s">
        <v>82</v>
      </c>
      <c r="F87" s="3">
        <v>15</v>
      </c>
      <c r="G87" s="3">
        <v>117</v>
      </c>
      <c r="H87" s="3" t="s">
        <v>22</v>
      </c>
      <c r="I87" s="3" t="s">
        <v>101</v>
      </c>
      <c r="J87" s="11" t="s">
        <v>134</v>
      </c>
      <c r="K87">
        <f t="shared" si="3"/>
        <v>5</v>
      </c>
      <c r="L87">
        <f t="shared" si="2"/>
        <v>10</v>
      </c>
    </row>
    <row r="88" spans="2:12">
      <c r="B88" s="3">
        <v>11</v>
      </c>
      <c r="C88" s="3" t="s">
        <v>109</v>
      </c>
      <c r="D88" s="3">
        <v>-11</v>
      </c>
      <c r="E88" s="3" t="s">
        <v>82</v>
      </c>
      <c r="F88" s="3">
        <v>15</v>
      </c>
      <c r="G88" s="3">
        <v>132</v>
      </c>
      <c r="H88" s="3" t="s">
        <v>22</v>
      </c>
      <c r="I88" s="3" t="s">
        <v>101</v>
      </c>
      <c r="J88" s="11">
        <v>0</v>
      </c>
      <c r="K88">
        <f t="shared" si="3"/>
        <v>1</v>
      </c>
      <c r="L88">
        <f t="shared" si="2"/>
        <v>14</v>
      </c>
    </row>
    <row r="89" spans="2:12">
      <c r="B89" s="3">
        <v>12</v>
      </c>
      <c r="C89" s="3" t="s">
        <v>43</v>
      </c>
      <c r="D89" s="3"/>
      <c r="E89" s="3" t="s">
        <v>21</v>
      </c>
      <c r="F89" s="3">
        <v>18</v>
      </c>
      <c r="G89" s="3">
        <v>150</v>
      </c>
      <c r="H89" s="3"/>
      <c r="I89" s="3" t="s">
        <v>110</v>
      </c>
      <c r="J89" s="11" t="s">
        <v>43</v>
      </c>
      <c r="K89">
        <f t="shared" si="3"/>
        <v>2</v>
      </c>
      <c r="L89">
        <f t="shared" si="2"/>
        <v>16</v>
      </c>
    </row>
    <row r="90" spans="2:12">
      <c r="J90" s="13"/>
    </row>
    <row r="91" spans="2:12">
      <c r="B91" s="2" t="s">
        <v>11</v>
      </c>
      <c r="C91" s="2" t="s">
        <v>12</v>
      </c>
      <c r="D91" s="2" t="s">
        <v>13</v>
      </c>
      <c r="E91" s="2" t="s">
        <v>14</v>
      </c>
      <c r="F91" s="2" t="s">
        <v>15</v>
      </c>
      <c r="G91" s="2" t="s">
        <v>16</v>
      </c>
      <c r="H91" s="2" t="s">
        <v>17</v>
      </c>
      <c r="I91" s="2" t="s">
        <v>18</v>
      </c>
      <c r="J91" s="12" t="s">
        <v>19</v>
      </c>
    </row>
    <row r="92" spans="2:12">
      <c r="B92" s="3">
        <v>1</v>
      </c>
      <c r="C92" s="3" t="s">
        <v>20</v>
      </c>
      <c r="D92" s="3"/>
      <c r="E92" s="3" t="s">
        <v>21</v>
      </c>
      <c r="F92" s="3">
        <v>2</v>
      </c>
      <c r="G92" s="3">
        <v>2</v>
      </c>
      <c r="H92" s="3" t="s">
        <v>22</v>
      </c>
      <c r="I92" s="3">
        <v>23</v>
      </c>
      <c r="J92" s="11">
        <v>23</v>
      </c>
      <c r="K92">
        <f t="shared" si="3"/>
        <v>2</v>
      </c>
      <c r="L92">
        <f t="shared" si="2"/>
        <v>0</v>
      </c>
    </row>
    <row r="93" spans="2:12">
      <c r="B93" s="3">
        <v>2</v>
      </c>
      <c r="C93" s="3" t="s">
        <v>23</v>
      </c>
      <c r="D93" s="3"/>
      <c r="E93" s="3" t="s">
        <v>21</v>
      </c>
      <c r="F93" s="3">
        <v>7</v>
      </c>
      <c r="G93" s="3">
        <v>9</v>
      </c>
      <c r="H93" s="3" t="s">
        <v>22</v>
      </c>
      <c r="I93" s="3" t="s">
        <v>24</v>
      </c>
      <c r="J93" s="11" t="s">
        <v>24</v>
      </c>
      <c r="K93">
        <f t="shared" si="3"/>
        <v>7</v>
      </c>
      <c r="L93">
        <f t="shared" si="2"/>
        <v>0</v>
      </c>
    </row>
    <row r="94" spans="2:12">
      <c r="B94" s="3">
        <v>3</v>
      </c>
      <c r="C94" s="3" t="s">
        <v>98</v>
      </c>
      <c r="D94" s="3"/>
      <c r="E94" s="3" t="s">
        <v>21</v>
      </c>
      <c r="F94" s="3">
        <v>3</v>
      </c>
      <c r="G94" s="3">
        <v>12</v>
      </c>
      <c r="H94" s="3" t="s">
        <v>22</v>
      </c>
      <c r="I94" s="3" t="s">
        <v>99</v>
      </c>
      <c r="J94" s="11" t="s">
        <v>136</v>
      </c>
      <c r="K94">
        <f t="shared" si="3"/>
        <v>3</v>
      </c>
      <c r="L94">
        <f t="shared" si="2"/>
        <v>0</v>
      </c>
    </row>
    <row r="95" spans="2:12">
      <c r="B95" s="3">
        <v>4</v>
      </c>
      <c r="C95" s="3" t="s">
        <v>100</v>
      </c>
      <c r="D95" s="3">
        <v>-4</v>
      </c>
      <c r="E95" s="3" t="s">
        <v>82</v>
      </c>
      <c r="F95" s="3">
        <v>15</v>
      </c>
      <c r="G95" s="3">
        <v>27</v>
      </c>
      <c r="H95" s="3" t="s">
        <v>22</v>
      </c>
      <c r="I95" s="3" t="s">
        <v>101</v>
      </c>
      <c r="J95" s="11" t="s">
        <v>132</v>
      </c>
      <c r="K95">
        <f t="shared" si="3"/>
        <v>1</v>
      </c>
      <c r="L95">
        <f t="shared" si="2"/>
        <v>14</v>
      </c>
    </row>
    <row r="96" spans="2:12">
      <c r="B96" s="3">
        <v>5</v>
      </c>
      <c r="C96" s="3" t="s">
        <v>102</v>
      </c>
      <c r="D96" s="3">
        <v>-5</v>
      </c>
      <c r="E96" s="3" t="s">
        <v>82</v>
      </c>
      <c r="F96" s="3">
        <v>15</v>
      </c>
      <c r="G96" s="3">
        <v>42</v>
      </c>
      <c r="H96" s="3" t="s">
        <v>22</v>
      </c>
      <c r="I96" s="3" t="s">
        <v>101</v>
      </c>
      <c r="J96" s="11" t="s">
        <v>133</v>
      </c>
      <c r="K96">
        <f t="shared" si="3"/>
        <v>7</v>
      </c>
      <c r="L96">
        <f t="shared" si="2"/>
        <v>8</v>
      </c>
    </row>
    <row r="97" spans="2:12">
      <c r="B97" s="3">
        <v>6</v>
      </c>
      <c r="C97" s="3" t="s">
        <v>103</v>
      </c>
      <c r="D97" s="3">
        <v>-6</v>
      </c>
      <c r="E97" s="3" t="s">
        <v>82</v>
      </c>
      <c r="F97" s="3">
        <v>15</v>
      </c>
      <c r="G97" s="3">
        <v>57</v>
      </c>
      <c r="H97" s="3" t="s">
        <v>22</v>
      </c>
      <c r="I97" s="3" t="s">
        <v>104</v>
      </c>
      <c r="J97" s="11" t="s">
        <v>134</v>
      </c>
      <c r="K97">
        <f t="shared" si="3"/>
        <v>5</v>
      </c>
      <c r="L97">
        <f t="shared" si="2"/>
        <v>10</v>
      </c>
    </row>
    <row r="98" spans="2:12">
      <c r="B98" s="3">
        <v>7</v>
      </c>
      <c r="C98" s="3" t="s">
        <v>105</v>
      </c>
      <c r="D98" s="3">
        <v>-7</v>
      </c>
      <c r="E98" s="3" t="s">
        <v>82</v>
      </c>
      <c r="F98" s="3">
        <v>15</v>
      </c>
      <c r="G98" s="3">
        <v>72</v>
      </c>
      <c r="H98" s="3" t="s">
        <v>22</v>
      </c>
      <c r="I98" s="3" t="s">
        <v>104</v>
      </c>
      <c r="J98" s="11">
        <v>0</v>
      </c>
      <c r="K98">
        <f t="shared" si="3"/>
        <v>1</v>
      </c>
      <c r="L98">
        <f t="shared" si="2"/>
        <v>14</v>
      </c>
    </row>
    <row r="99" spans="2:12">
      <c r="B99" s="3">
        <v>8</v>
      </c>
      <c r="C99" s="3" t="s">
        <v>106</v>
      </c>
      <c r="D99" s="3">
        <v>-8</v>
      </c>
      <c r="E99" s="3" t="s">
        <v>82</v>
      </c>
      <c r="F99" s="3">
        <v>15</v>
      </c>
      <c r="G99" s="3">
        <v>87</v>
      </c>
      <c r="H99" s="3" t="s">
        <v>22</v>
      </c>
      <c r="I99" s="3" t="s">
        <v>101</v>
      </c>
      <c r="J99" s="11" t="s">
        <v>135</v>
      </c>
      <c r="K99">
        <f t="shared" si="3"/>
        <v>1</v>
      </c>
      <c r="L99">
        <f t="shared" si="2"/>
        <v>14</v>
      </c>
    </row>
    <row r="100" spans="2:12">
      <c r="B100" s="3">
        <v>9</v>
      </c>
      <c r="C100" s="3" t="s">
        <v>107</v>
      </c>
      <c r="D100" s="3">
        <v>-9</v>
      </c>
      <c r="E100" s="3" t="s">
        <v>82</v>
      </c>
      <c r="F100" s="3">
        <v>15</v>
      </c>
      <c r="G100" s="3">
        <v>102</v>
      </c>
      <c r="H100" s="3" t="s">
        <v>22</v>
      </c>
      <c r="I100" s="3" t="s">
        <v>104</v>
      </c>
      <c r="J100" s="11">
        <v>0</v>
      </c>
      <c r="K100">
        <f t="shared" si="3"/>
        <v>1</v>
      </c>
      <c r="L100">
        <f t="shared" si="2"/>
        <v>14</v>
      </c>
    </row>
    <row r="101" spans="2:12">
      <c r="B101" s="3">
        <v>10</v>
      </c>
      <c r="C101" s="3" t="s">
        <v>108</v>
      </c>
      <c r="D101" s="3">
        <v>-10</v>
      </c>
      <c r="E101" s="3" t="s">
        <v>82</v>
      </c>
      <c r="F101" s="3">
        <v>15</v>
      </c>
      <c r="G101" s="3">
        <v>117</v>
      </c>
      <c r="H101" s="3" t="s">
        <v>22</v>
      </c>
      <c r="I101" s="3" t="s">
        <v>101</v>
      </c>
      <c r="J101" s="11" t="s">
        <v>134</v>
      </c>
      <c r="K101">
        <f t="shared" si="3"/>
        <v>5</v>
      </c>
      <c r="L101">
        <f t="shared" si="2"/>
        <v>10</v>
      </c>
    </row>
    <row r="102" spans="2:12">
      <c r="B102" s="3">
        <v>11</v>
      </c>
      <c r="C102" s="3" t="s">
        <v>109</v>
      </c>
      <c r="D102" s="3">
        <v>-11</v>
      </c>
      <c r="E102" s="3" t="s">
        <v>82</v>
      </c>
      <c r="F102" s="3">
        <v>15</v>
      </c>
      <c r="G102" s="3">
        <v>132</v>
      </c>
      <c r="H102" s="3" t="s">
        <v>22</v>
      </c>
      <c r="I102" s="3" t="s">
        <v>101</v>
      </c>
      <c r="J102" s="11">
        <v>0</v>
      </c>
      <c r="K102">
        <f t="shared" si="3"/>
        <v>1</v>
      </c>
      <c r="L102">
        <f t="shared" si="2"/>
        <v>14</v>
      </c>
    </row>
    <row r="103" spans="2:12">
      <c r="B103" s="3">
        <v>12</v>
      </c>
      <c r="C103" s="3" t="s">
        <v>43</v>
      </c>
      <c r="D103" s="3"/>
      <c r="E103" s="3" t="s">
        <v>21</v>
      </c>
      <c r="F103" s="3">
        <v>18</v>
      </c>
      <c r="G103" s="3">
        <v>150</v>
      </c>
      <c r="H103" s="3"/>
      <c r="I103" s="3" t="s">
        <v>110</v>
      </c>
      <c r="J103" s="11" t="s">
        <v>43</v>
      </c>
      <c r="K103">
        <f t="shared" si="3"/>
        <v>2</v>
      </c>
      <c r="L103">
        <f t="shared" si="2"/>
        <v>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MM4094</dc:creator>
  <cp:lastModifiedBy>MM4094</cp:lastModifiedBy>
  <dcterms:created xsi:type="dcterms:W3CDTF">2026-01-31T06:53:37Z</dcterms:created>
  <dcterms:modified xsi:type="dcterms:W3CDTF">2026-01-31T08:42:40Z</dcterms:modified>
</cp:coreProperties>
</file>